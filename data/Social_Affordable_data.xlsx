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rago\Documents\GitHub\github-portfolio\data\"/>
    </mc:Choice>
  </mc:AlternateContent>
  <xr:revisionPtr revIDLastSave="0" documentId="13_ncr:1_{45F9C1AB-5580-4173-89C6-07D71A8B41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y Statistics" sheetId="1" r:id="rId1"/>
    <sheet name="Data Sources" sheetId="3" r:id="rId2"/>
    <sheet name="Quick Calculation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  <c r="W7" i="1"/>
  <c r="W5" i="1"/>
  <c r="W4" i="1"/>
  <c r="W3" i="1"/>
  <c r="B25" i="2" l="1"/>
  <c r="B24" i="2"/>
  <c r="E1" i="2"/>
  <c r="K2" i="2" l="1"/>
  <c r="K1" i="2"/>
  <c r="E2" i="2"/>
  <c r="I15" i="2"/>
  <c r="G16" i="2"/>
</calcChain>
</file>

<file path=xl/sharedStrings.xml><?xml version="1.0" encoding="utf-8"?>
<sst xmlns="http://schemas.openxmlformats.org/spreadsheetml/2006/main" count="96" uniqueCount="83">
  <si>
    <t>ID</t>
  </si>
  <si>
    <t>city_name</t>
  </si>
  <si>
    <t>country</t>
  </si>
  <si>
    <t>pop_fua</t>
  </si>
  <si>
    <t>pop_city_limits</t>
  </si>
  <si>
    <t>municipal_land_ownership</t>
  </si>
  <si>
    <t>primary_system_model</t>
  </si>
  <si>
    <t>is_tenant_owned</t>
  </si>
  <si>
    <t>primary_tenure_type</t>
  </si>
  <si>
    <t>main_provider</t>
  </si>
  <si>
    <t>income_caps</t>
  </si>
  <si>
    <t>is_capital</t>
  </si>
  <si>
    <t>median_income</t>
  </si>
  <si>
    <t>income_ceiling_vs_median_pct</t>
  </si>
  <si>
    <t>rent_burden</t>
  </si>
  <si>
    <t>is_social_quota_regulated</t>
  </si>
  <si>
    <t>social_quota_system</t>
  </si>
  <si>
    <t>city_government_note_policy</t>
  </si>
  <si>
    <t>Vienna</t>
  </si>
  <si>
    <t>Austria</t>
  </si>
  <si>
    <t>yes</t>
  </si>
  <si>
    <t>Amsterdam</t>
  </si>
  <si>
    <t>Netherlands</t>
  </si>
  <si>
    <t>Column1</t>
  </si>
  <si>
    <t>Copenhagen</t>
  </si>
  <si>
    <t>Denmark</t>
  </si>
  <si>
    <t>Helsinki</t>
  </si>
  <si>
    <t>Finland</t>
  </si>
  <si>
    <t>Berlin</t>
  </si>
  <si>
    <t>Germany</t>
  </si>
  <si>
    <t>Paris</t>
  </si>
  <si>
    <t>France</t>
  </si>
  <si>
    <t>London</t>
  </si>
  <si>
    <t>United Kingdom</t>
  </si>
  <si>
    <t>lai_institutional_depth</t>
  </si>
  <si>
    <t>lai_fiscal_autonomy</t>
  </si>
  <si>
    <t>lai_organisational_autonomy</t>
  </si>
  <si>
    <t>oecd_governance_note</t>
  </si>
  <si>
    <t>oecd_governance_primary_typology</t>
  </si>
  <si>
    <t>CAGR</t>
  </si>
  <si>
    <t>FUA Population</t>
  </si>
  <si>
    <t>OECD</t>
  </si>
  <si>
    <t>https://data-explorer.oecd.org/vis?lc=en&amp;df[ds]=DisseminateFinalDMZ&amp;df[id]=DSD_FUA_DEMO%40DF_CITIZENSHIP&amp;df[ag]=OECD.CFE.EDS&amp;df[vs]=1.2&amp;dq=AT001F%2BAT002F%2BAT003F%2BAT004F%2BAT005F%2BAT006F%2BAT002C%2BAT003C%2BAT004C%2BAT005C%2BAT006C.A..._T._T...&amp;lom=LASTNPERIODS&amp;lo=5&amp;to[TIME_PERIOD]=false</t>
  </si>
  <si>
    <t>Vienna City Population</t>
  </si>
  <si>
    <t>Statistic Austria</t>
  </si>
  <si>
    <t>Vienna Population Density</t>
  </si>
  <si>
    <t>Vienna Area in SqKm</t>
  </si>
  <si>
    <t>Vienna Housing Stock</t>
  </si>
  <si>
    <t>Statistic Austria Housing Census 2024</t>
  </si>
  <si>
    <t>no</t>
  </si>
  <si>
    <t>Vienna Income</t>
  </si>
  <si>
    <t>STATISTICS AUSTRIA, General Income Report 2024, Wage Tax Data and data from the Federation of Social Insurance</t>
  </si>
  <si>
    <t>growth</t>
  </si>
  <si>
    <t>pop_density_city</t>
  </si>
  <si>
    <t>Population Density</t>
  </si>
  <si>
    <t>municipal_housing_share</t>
  </si>
  <si>
    <t>cooperative_housing_share</t>
  </si>
  <si>
    <t>owner_occupied_share</t>
  </si>
  <si>
    <t>private_rental_share</t>
  </si>
  <si>
    <t>Berlin Housing Stock</t>
  </si>
  <si>
    <t>https://www.housingcoop.eu/cities/berlin</t>
  </si>
  <si>
    <t>private</t>
  </si>
  <si>
    <t>public</t>
  </si>
  <si>
    <t>coop</t>
  </si>
  <si>
    <t>other</t>
  </si>
  <si>
    <t>social_housing_share_total_Stock</t>
  </si>
  <si>
    <t>municipal_rent_monthly_sqm</t>
  </si>
  <si>
    <t>coop_rent_monthly_sqm</t>
  </si>
  <si>
    <t>all_stock_median_rent_monthly_sqm</t>
  </si>
  <si>
    <t>new_contracts_rent_monthly_sqm</t>
  </si>
  <si>
    <t>furnished_serviced_gross_rent_monthly_sqm</t>
  </si>
  <si>
    <t>other_tenancy</t>
  </si>
  <si>
    <t>city_pop_change_rate_10_years</t>
  </si>
  <si>
    <t>city_compound_annual_growth_rate</t>
  </si>
  <si>
    <t>city_land_area_sqkm</t>
  </si>
  <si>
    <t>urbanised_area_sqkm</t>
  </si>
  <si>
    <t>built_area_sqm_perperson</t>
  </si>
  <si>
    <t>~46%</t>
  </si>
  <si>
    <t>~80%</t>
  </si>
  <si>
    <t>~29.51%</t>
  </si>
  <si>
    <t>~64.7%</t>
  </si>
  <si>
    <t>~43%</t>
  </si>
  <si>
    <t>~30% - 40%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</si>
</sst>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0.0%"/>
    <numFmt numFmtId="165" formatCode="#,##0;\–\ #,##0;\–"/>
    <numFmt numFmtId="166" formatCode="_-[$€-2]\ * #,##0.00_-;\-[$€-2]\ * #,##0.00_-;_-[$€-2]\ * &quot;-&quot;??_-;_-@_-"/>
  </numFmts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rgb="FF444444"/>
      <name val="Arial"/>
      <family val="2"/>
    </font>
    <font>
      <sz val="7"/>
      <color rgb="FF444444"/>
      <name val="Inherit"/>
    </font>
    <font>
      <sz val="11"/>
      <color theme="1"/>
      <name val="Calibri"/>
      <family val="2"/>
      <scheme val="minor"/>
    </font>
    <font>
      <sz val="8"/>
      <color rgb="FF182026"/>
      <name val="Arial"/>
      <family val="2"/>
    </font>
    <font>
      <sz val="10"/>
      <color rgb="FF323232"/>
      <name val="Arial"/>
      <family val="2"/>
    </font>
    <font>
      <sz val="10"/>
      <color rgb="FF333333"/>
      <name val="Inherit"/>
    </font>
    <font>
      <sz val="11"/>
      <color rgb="FF000000"/>
      <name val="Inherit"/>
    </font>
    <font>
      <sz val="9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8EEFD"/>
        <bgColor indexed="64"/>
      </patternFill>
    </fill>
  </fills>
  <borders count="1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F4F4F4"/>
      </right>
      <top/>
      <bottom style="medium">
        <color rgb="FFF4F4F4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 style="medium">
        <color rgb="FFF4F4F4"/>
      </right>
      <top/>
      <bottom/>
      <diagonal/>
    </border>
    <border>
      <left/>
      <right/>
      <top/>
      <bottom style="medium">
        <color rgb="FFF4F4F4"/>
      </bottom>
      <diagonal/>
    </border>
    <border>
      <left/>
      <right style="medium">
        <color rgb="FF1A3061"/>
      </right>
      <top/>
      <bottom style="medium">
        <color rgb="FF1A3061"/>
      </bottom>
      <diagonal/>
    </border>
    <border>
      <left style="medium">
        <color rgb="FF1A3061"/>
      </left>
      <right/>
      <top/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1A3061"/>
      </bottom>
      <diagonal/>
    </border>
    <border>
      <left style="medium">
        <color rgb="FF1A3061"/>
      </left>
      <right/>
      <top style="medium">
        <color rgb="FF1A3061"/>
      </top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000000"/>
      </bottom>
      <diagonal/>
    </border>
    <border>
      <left style="medium">
        <color rgb="FF1A3061"/>
      </left>
      <right/>
      <top style="medium">
        <color rgb="FF1A3061"/>
      </top>
      <bottom style="medium">
        <color rgb="FF000000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9" fillId="0" borderId="0"/>
    <xf numFmtId="44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top"/>
    </xf>
    <xf numFmtId="3" fontId="0" fillId="0" borderId="0" xfId="0" applyNumberFormat="1"/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2" fillId="3" borderId="3" xfId="0" applyFont="1" applyFill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right" vertical="center"/>
    </xf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3" fontId="3" fillId="4" borderId="5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6" borderId="6" xfId="0" applyFont="1" applyFill="1" applyBorder="1" applyAlignment="1">
      <alignment horizontal="left" vertical="center" wrapText="1"/>
    </xf>
    <xf numFmtId="3" fontId="8" fillId="6" borderId="7" xfId="0" applyNumberFormat="1" applyFont="1" applyFill="1" applyBorder="1" applyAlignment="1">
      <alignment horizontal="right" vertical="center"/>
    </xf>
    <xf numFmtId="0" fontId="7" fillId="7" borderId="8" xfId="0" applyFont="1" applyFill="1" applyBorder="1" applyAlignment="1">
      <alignment horizontal="left" vertical="center" wrapText="1"/>
    </xf>
    <xf numFmtId="3" fontId="8" fillId="2" borderId="9" xfId="0" applyNumberFormat="1" applyFon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left" vertical="center" wrapText="1"/>
    </xf>
    <xf numFmtId="3" fontId="8" fillId="2" borderId="11" xfId="0" applyNumberFormat="1" applyFont="1" applyFill="1" applyBorder="1" applyAlignment="1">
      <alignment horizontal="right" vertical="center"/>
    </xf>
    <xf numFmtId="164" fontId="0" fillId="0" borderId="0" xfId="0" applyNumberFormat="1"/>
    <xf numFmtId="165" fontId="10" fillId="0" borderId="0" xfId="2" applyNumberFormat="1" applyFont="1"/>
    <xf numFmtId="3" fontId="10" fillId="0" borderId="0" xfId="2" applyNumberFormat="1" applyFont="1"/>
    <xf numFmtId="166" fontId="0" fillId="0" borderId="0" xfId="1" applyNumberFormat="1" applyFont="1"/>
    <xf numFmtId="10" fontId="0" fillId="0" borderId="0" xfId="0" applyNumberFormat="1"/>
    <xf numFmtId="166" fontId="0" fillId="0" borderId="0" xfId="3" applyNumberFormat="1" applyFont="1"/>
    <xf numFmtId="164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0" fontId="0" fillId="0" borderId="0" xfId="0" applyAlignment="1">
      <alignment horizontal="right"/>
    </xf>
  </cellXfs>
  <cellStyles count="4">
    <cellStyle name="Currency" xfId="3" builtinId="4"/>
    <cellStyle name="Normal" xfId="0" builtinId="0"/>
    <cellStyle name="Percent" xfId="1" builtinId="5"/>
    <cellStyle name="Standard_Bev#AlDt9098" xfId="2" xr:uid="{1C678A7E-01A5-44DD-8897-196285DAEBE9}"/>
  </cellStyles>
  <dxfs count="1"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7979be12f8473d2/Me/Research%20%5e0%20Career/Freelance%20%5e0%20Self-Work/Analysis%20and%20Research/3.%20Social%20Housing%20Atlas/Global%20Social%20and%20Affordable%20Housing%20Tracker.xlsx" TargetMode="External"/><Relationship Id="rId1" Type="http://schemas.openxmlformats.org/officeDocument/2006/relationships/externalLinkPath" Target="https://d.docs.live.net/27979be12f8473d2/Me/Research%20%5e0%20Career/Freelance%20%5e0%20Self-Work/Analysis%20and%20Research/3.%20Social%20Housing%20Atlas/Global%20Social%20and%20Affordable%20Housing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ty Statistics"/>
      <sheetName val="Data Sources"/>
      <sheetName val="Quick Calculations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C6DF4-BF35-48D9-90A4-20C09DFE164D}" name="Table1" displayName="Table1" ref="A1:AO16" totalsRowShown="0">
  <autoFilter ref="A1:AO16" xr:uid="{120C6DF4-BF35-48D9-90A4-20C09DFE164D}"/>
  <tableColumns count="41">
    <tableColumn id="1" xr3:uid="{9C3C5091-8660-4569-B09B-5FFE2E402561}" name="ID" dataDxfId="0"/>
    <tableColumn id="2" xr3:uid="{E881ACD2-7811-4C61-8576-DDAAA26363B6}" name="city_name"/>
    <tableColumn id="3" xr3:uid="{54D32898-2895-43C2-BC46-5CBA25E11A08}" name="country"/>
    <tableColumn id="4" xr3:uid="{71FB69A0-E849-4913-8011-16E8C013A073}" name="is_capital"/>
    <tableColumn id="5" xr3:uid="{720E39CD-249C-4E30-81D3-6C7DCD1AE790}" name="oecd_governance_primary_typology"/>
    <tableColumn id="31" xr3:uid="{22765ADE-C1A4-43C7-85EC-F1BF067A5970}" name="oecd_governance_note"/>
    <tableColumn id="28" xr3:uid="{7B7DC335-EA09-432C-A8D3-89689F1C4F14}" name="lai_institutional_depth"/>
    <tableColumn id="29" xr3:uid="{14D834CF-9566-4667-A845-D63F2AD1530D}" name="lai_fiscal_autonomy"/>
    <tableColumn id="30" xr3:uid="{0939E668-FD18-469F-8723-B4CE49059E7E}" name="lai_organisational_autonomy"/>
    <tableColumn id="6" xr3:uid="{4B5A864F-0674-449E-A652-1FC88C024D00}" name="city_government_note_policy"/>
    <tableColumn id="7" xr3:uid="{6D72B929-F009-4D63-B4BC-FDC369152FF6}" name="pop_city_limits"/>
    <tableColumn id="8" xr3:uid="{767A48AB-2EBD-4720-B319-117EB1B7DCB5}" name="pop_fua"/>
    <tableColumn id="9" xr3:uid="{BC047630-1174-49CB-8571-C039CBFB84BC}" name="pop_density_city"/>
    <tableColumn id="32" xr3:uid="{7FF428A0-BA01-4B67-BE87-F664ECFB6473}" name="city_pop_change_rate_10_years"/>
    <tableColumn id="27" xr3:uid="{695E0FCB-E7E8-4C24-AD8C-F84B17697C01}" name="city_compound_annual_growth_rate"/>
    <tableColumn id="10" xr3:uid="{BF2978E0-DA84-49C5-9159-FC8EFD257D6D}" name="median_income"/>
    <tableColumn id="11" xr3:uid="{38F6A1CD-A76A-4179-8E7F-2C74816FF8B3}" name="rent_burden"/>
    <tableColumn id="12" xr3:uid="{B7A6B177-68EA-459C-91FC-9758846CFCA6}" name="income_ceiling_vs_median_pct"/>
    <tableColumn id="14" xr3:uid="{72DD4506-03E4-41A6-BC95-66B466A3D061}" name="city_land_area_sqkm"/>
    <tableColumn id="15" xr3:uid="{E756D744-8FA6-4971-8E53-17D52302C41C}" name="urbanised_area_sqkm"/>
    <tableColumn id="16" xr3:uid="{C8348B4E-7BE9-4FC8-8D26-31E0A8E9FF72}" name="built_area_sqm_perperson"/>
    <tableColumn id="17" xr3:uid="{127B113F-E395-4003-9029-44E486EF4B15}" name="municipal_land_ownership" dataCellStyle="Percent"/>
    <tableColumn id="18" xr3:uid="{5C4AA4E8-A1CA-4934-B009-7283B6EF2A9B}" name="social_housing_share_total_Stock"/>
    <tableColumn id="34" xr3:uid="{B88A281B-4B12-493F-A376-8C9EAA1989F8}" name="municipal_housing_share"/>
    <tableColumn id="33" xr3:uid="{B18681F9-CF2D-4983-9262-3815A83ABDA7}" name="cooperative_housing_share"/>
    <tableColumn id="35" xr3:uid="{ED11DAD5-3897-42ED-A3B8-D3080EBB1EF5}" name="owner_occupied_share"/>
    <tableColumn id="36" xr3:uid="{D42BA3CE-2B2D-4CDC-9468-F933A2DFBE9B}" name="private_rental_share"/>
    <tableColumn id="41" xr3:uid="{C5D8D82A-2BCD-4E5C-8838-21848099008D}" name="other_tenancy"/>
    <tableColumn id="13" xr3:uid="{B2DEBE3B-9F81-4B98-9BDA-18F7D56675D0}" name="municipal_rent_monthly_sqm"/>
    <tableColumn id="37" xr3:uid="{46E4F68C-E601-43A9-96D9-E149E2BEA786}" name="coop_rent_monthly_sqm"/>
    <tableColumn id="38" xr3:uid="{73D8E12A-34CB-4426-89B4-248D8D2B093A}" name="all_stock_median_rent_monthly_sqm"/>
    <tableColumn id="40" xr3:uid="{6002593C-CC18-484C-8DCE-528A9261F874}" name="new_contracts_rent_monthly_sqm"/>
    <tableColumn id="39" xr3:uid="{0678CF60-A411-4304-95DD-52F0ED2205C9}" name="furnished_serviced_gross_rent_monthly_sqm"/>
    <tableColumn id="19" xr3:uid="{CBB00B11-E117-465F-8451-70F9892D4567}" name="primary_system_model"/>
    <tableColumn id="20" xr3:uid="{864B3AB5-A466-40BA-97DC-1DB0B3B489AC}" name="is_tenant_owned"/>
    <tableColumn id="21" xr3:uid="{0B9CA393-3C36-4619-8157-DF82B429BD62}" name="primary_tenure_type"/>
    <tableColumn id="22" xr3:uid="{A83E8FBD-23B4-46C1-B3F9-358A992233D7}" name="main_provider"/>
    <tableColumn id="23" xr3:uid="{41303710-8B9D-4E5E-B748-E5FE0B30D73B}" name="income_caps"/>
    <tableColumn id="24" xr3:uid="{1C15C51F-E650-4A39-9938-4AF22B865ED7}" name="is_social_quota_regulated"/>
    <tableColumn id="25" xr3:uid="{96F762D5-C5D7-4C90-9834-A357CC32DDC9}" name="social_quota_system"/>
    <tableColumn id="26" xr3:uid="{8B6CB197-F433-460F-AA12-22847F550C1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workbookViewId="0">
      <selection activeCell="G19" sqref="G19"/>
    </sheetView>
  </sheetViews>
  <sheetFormatPr defaultRowHeight="14.4"/>
  <cols>
    <col min="1" max="1" width="6.88671875" customWidth="1"/>
    <col min="2" max="25" width="17.77734375" customWidth="1"/>
    <col min="26" max="26" width="17.5546875" customWidth="1"/>
    <col min="27" max="28" width="17.6640625" customWidth="1"/>
    <col min="29" max="29" width="9.44140625" customWidth="1"/>
    <col min="30" max="30" width="8.77734375" customWidth="1"/>
  </cols>
  <sheetData>
    <row r="1" spans="1:41">
      <c r="A1" t="s">
        <v>0</v>
      </c>
      <c r="B1" t="s">
        <v>1</v>
      </c>
      <c r="C1" t="s">
        <v>2</v>
      </c>
      <c r="D1" t="s">
        <v>11</v>
      </c>
      <c r="E1" t="s">
        <v>38</v>
      </c>
      <c r="F1" t="s">
        <v>37</v>
      </c>
      <c r="G1" t="s">
        <v>34</v>
      </c>
      <c r="H1" t="s">
        <v>35</v>
      </c>
      <c r="I1" t="s">
        <v>36</v>
      </c>
      <c r="J1" t="s">
        <v>17</v>
      </c>
      <c r="K1" t="s">
        <v>4</v>
      </c>
      <c r="L1" t="s">
        <v>3</v>
      </c>
      <c r="M1" t="s">
        <v>53</v>
      </c>
      <c r="N1" t="s">
        <v>72</v>
      </c>
      <c r="O1" t="s">
        <v>73</v>
      </c>
      <c r="P1" t="s">
        <v>12</v>
      </c>
      <c r="Q1" t="s">
        <v>14</v>
      </c>
      <c r="R1" t="s">
        <v>13</v>
      </c>
      <c r="S1" t="s">
        <v>74</v>
      </c>
      <c r="T1" t="s">
        <v>75</v>
      </c>
      <c r="U1" t="s">
        <v>76</v>
      </c>
      <c r="V1" t="s">
        <v>5</v>
      </c>
      <c r="W1" t="s">
        <v>65</v>
      </c>
      <c r="X1" t="s">
        <v>55</v>
      </c>
      <c r="Y1" t="s">
        <v>56</v>
      </c>
      <c r="Z1" t="s">
        <v>57</v>
      </c>
      <c r="AA1" t="s">
        <v>58</v>
      </c>
      <c r="AB1" t="s">
        <v>71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6</v>
      </c>
      <c r="AI1" t="s">
        <v>7</v>
      </c>
      <c r="AJ1" t="s">
        <v>8</v>
      </c>
      <c r="AK1" t="s">
        <v>9</v>
      </c>
      <c r="AL1" t="s">
        <v>10</v>
      </c>
      <c r="AM1" t="s">
        <v>15</v>
      </c>
      <c r="AN1" t="s">
        <v>16</v>
      </c>
      <c r="AO1" t="s">
        <v>23</v>
      </c>
    </row>
    <row r="2" spans="1:41">
      <c r="A2" s="1">
        <v>1</v>
      </c>
      <c r="B2" t="s">
        <v>18</v>
      </c>
      <c r="C2" t="s">
        <v>19</v>
      </c>
      <c r="D2" t="s">
        <v>20</v>
      </c>
      <c r="K2" s="2">
        <v>2028289</v>
      </c>
      <c r="L2" s="7">
        <v>3231239</v>
      </c>
      <c r="M2">
        <v>4922</v>
      </c>
      <c r="N2" s="11">
        <v>0.10905617027473799</v>
      </c>
      <c r="O2" s="12">
        <v>1.04E-2</v>
      </c>
      <c r="S2">
        <v>414.82</v>
      </c>
      <c r="T2">
        <v>71</v>
      </c>
      <c r="U2">
        <v>36</v>
      </c>
      <c r="V2" s="27" t="s">
        <v>77</v>
      </c>
      <c r="W2" s="11">
        <v>0.44600000000000001</v>
      </c>
      <c r="X2" s="25">
        <v>0.24</v>
      </c>
      <c r="Y2" s="25">
        <v>0.17</v>
      </c>
      <c r="Z2" s="25">
        <v>0.193</v>
      </c>
      <c r="AA2" s="25">
        <v>0.34100000000000003</v>
      </c>
      <c r="AB2" s="21"/>
      <c r="AC2" s="24">
        <v>5.0999999999999996</v>
      </c>
      <c r="AD2" s="24">
        <v>6.1</v>
      </c>
      <c r="AE2" s="24">
        <v>7.5</v>
      </c>
      <c r="AF2" s="24">
        <v>13.7</v>
      </c>
      <c r="AG2" s="24">
        <v>21</v>
      </c>
      <c r="AM2" t="s">
        <v>49</v>
      </c>
    </row>
    <row r="3" spans="1:41">
      <c r="A3" s="1">
        <v>2</v>
      </c>
      <c r="B3" t="s">
        <v>21</v>
      </c>
      <c r="C3" t="s">
        <v>22</v>
      </c>
      <c r="D3" t="s">
        <v>20</v>
      </c>
      <c r="K3">
        <v>941873</v>
      </c>
      <c r="L3">
        <v>2980410</v>
      </c>
      <c r="M3">
        <v>5092</v>
      </c>
      <c r="N3" s="11">
        <v>0.128</v>
      </c>
      <c r="O3" s="11">
        <v>1.2E-2</v>
      </c>
      <c r="S3">
        <v>219.32</v>
      </c>
      <c r="V3" s="28" t="s">
        <v>78</v>
      </c>
      <c r="W3" s="10">
        <f>[1]!Table1[[#This Row],[municipal_housing_share]]+[1]!Table1[[#This Row],[cooperative_housing_share]]</f>
        <v>0.371</v>
      </c>
      <c r="X3" s="12">
        <v>0.37</v>
      </c>
      <c r="Y3" s="12">
        <v>1E-3</v>
      </c>
      <c r="Z3" s="12">
        <v>0.3</v>
      </c>
      <c r="AA3" s="25">
        <v>0.32900000000000001</v>
      </c>
      <c r="AC3" s="24">
        <v>8.1</v>
      </c>
      <c r="AD3" s="24">
        <v>10.5</v>
      </c>
      <c r="AE3" s="24">
        <v>11.8</v>
      </c>
      <c r="AF3" s="24">
        <v>25.3</v>
      </c>
      <c r="AG3" s="24">
        <v>31.5</v>
      </c>
    </row>
    <row r="4" spans="1:41">
      <c r="A4" s="1">
        <v>4</v>
      </c>
      <c r="B4" t="s">
        <v>24</v>
      </c>
      <c r="C4" t="s">
        <v>25</v>
      </c>
      <c r="D4" t="s">
        <v>20</v>
      </c>
      <c r="K4">
        <v>670393</v>
      </c>
      <c r="L4">
        <v>2294858</v>
      </c>
      <c r="M4">
        <v>7390</v>
      </c>
      <c r="N4" s="11">
        <v>0.13600000000000001</v>
      </c>
      <c r="O4" s="11">
        <v>1.2999999999999999E-2</v>
      </c>
      <c r="S4">
        <v>92.4</v>
      </c>
      <c r="V4" s="27" t="s">
        <v>79</v>
      </c>
      <c r="W4" s="11">
        <f>[1]!Table1[[#This Row],[municipal_housing_share]]</f>
        <v>0.188</v>
      </c>
      <c r="X4" s="11">
        <v>0.188</v>
      </c>
      <c r="Y4" s="10">
        <v>0.28000000000000003</v>
      </c>
      <c r="Z4" s="10">
        <v>0.26</v>
      </c>
      <c r="AA4" s="25">
        <v>0.27200000000000002</v>
      </c>
      <c r="AC4" s="24">
        <v>12.5</v>
      </c>
      <c r="AD4" s="24">
        <v>8.5</v>
      </c>
      <c r="AE4" s="24">
        <v>11.36</v>
      </c>
      <c r="AF4" s="24">
        <v>17</v>
      </c>
      <c r="AG4" s="24">
        <v>22.5</v>
      </c>
    </row>
    <row r="5" spans="1:41">
      <c r="A5" s="1">
        <v>5</v>
      </c>
      <c r="B5" t="s">
        <v>26</v>
      </c>
      <c r="C5" t="s">
        <v>27</v>
      </c>
      <c r="D5" t="s">
        <v>20</v>
      </c>
      <c r="K5">
        <v>694392</v>
      </c>
      <c r="L5">
        <v>1773305</v>
      </c>
      <c r="M5">
        <v>3215</v>
      </c>
      <c r="N5" s="11">
        <v>9.321909817831453E-2</v>
      </c>
      <c r="O5" s="11">
        <v>8.9525005442310235E-3</v>
      </c>
      <c r="S5">
        <v>217</v>
      </c>
      <c r="V5" s="27" t="s">
        <v>80</v>
      </c>
      <c r="W5" s="21">
        <f>[1]!Table1[[#This Row],[municipal_housing_share]]+[1]!Table1[[#This Row],[cooperative_housing_share]]</f>
        <v>0.16800000000000001</v>
      </c>
      <c r="X5" s="11">
        <v>0.13500000000000001</v>
      </c>
      <c r="Y5" s="11">
        <v>3.3000000000000002E-2</v>
      </c>
      <c r="Z5" s="11">
        <v>0.43</v>
      </c>
      <c r="AA5" s="11">
        <v>0.33200000000000002</v>
      </c>
      <c r="AB5" s="11"/>
      <c r="AC5" s="24">
        <v>13.6</v>
      </c>
      <c r="AD5" s="24">
        <v>14</v>
      </c>
      <c r="AE5" s="24">
        <v>19.399999999999999</v>
      </c>
      <c r="AF5" s="24">
        <v>21.5</v>
      </c>
      <c r="AG5" s="24">
        <v>30</v>
      </c>
    </row>
    <row r="6" spans="1:41">
      <c r="A6" s="1">
        <v>6</v>
      </c>
      <c r="B6" t="s">
        <v>28</v>
      </c>
      <c r="C6" t="s">
        <v>29</v>
      </c>
      <c r="D6" t="s">
        <v>20</v>
      </c>
      <c r="K6">
        <v>3917196</v>
      </c>
      <c r="L6">
        <v>5051349</v>
      </c>
      <c r="M6">
        <v>4109</v>
      </c>
      <c r="N6" s="11">
        <v>8.4065065332356831E-2</v>
      </c>
      <c r="O6" s="11">
        <v>8.1044572038246887E-3</v>
      </c>
      <c r="S6">
        <v>891.3</v>
      </c>
      <c r="V6" s="28" t="s">
        <v>81</v>
      </c>
      <c r="W6" s="11">
        <v>0.27600000000000002</v>
      </c>
      <c r="X6" s="11">
        <v>0.17899999999999999</v>
      </c>
      <c r="Y6" s="11">
        <v>9.7000000000000003E-2</v>
      </c>
      <c r="Z6" s="11">
        <v>0.16400000000000001</v>
      </c>
      <c r="AA6" s="11">
        <v>0.56000000000000005</v>
      </c>
      <c r="AB6" s="11">
        <v>7.0000000000000007E-2</v>
      </c>
      <c r="AC6" s="24">
        <v>6.67</v>
      </c>
      <c r="AD6" s="24">
        <v>6.27</v>
      </c>
      <c r="AE6" s="24">
        <v>7.1</v>
      </c>
      <c r="AF6" s="24">
        <v>15.78</v>
      </c>
      <c r="AG6" s="24">
        <v>24</v>
      </c>
    </row>
    <row r="7" spans="1:41">
      <c r="A7" s="1">
        <v>7</v>
      </c>
      <c r="B7" t="s">
        <v>30</v>
      </c>
      <c r="C7" t="s">
        <v>31</v>
      </c>
      <c r="D7" t="s">
        <v>20</v>
      </c>
      <c r="K7" s="2">
        <v>2047602</v>
      </c>
      <c r="L7" s="29">
        <v>13195545</v>
      </c>
      <c r="M7">
        <v>20100</v>
      </c>
      <c r="N7" s="11">
        <v>-6.5000000000000002E-2</v>
      </c>
      <c r="O7" s="12">
        <v>-7.0000000000000001E-3</v>
      </c>
      <c r="S7">
        <v>105</v>
      </c>
      <c r="V7" s="29" t="s">
        <v>82</v>
      </c>
      <c r="W7" s="12">
        <f>[1]!Table1[[#This Row],[municipal_housing_share]]+[1]!Table1[[#This Row],[cooperative_housing_share]]</f>
        <v>0.19409999999999999</v>
      </c>
      <c r="X7" s="12">
        <v>0.19400000000000001</v>
      </c>
      <c r="Y7" s="12">
        <v>1E-4</v>
      </c>
      <c r="Z7" s="12">
        <v>0.33400000000000002</v>
      </c>
      <c r="AA7" s="12">
        <v>0.42499999999999999</v>
      </c>
      <c r="AB7" s="10">
        <v>0.04</v>
      </c>
      <c r="AC7" s="26">
        <v>7.5</v>
      </c>
      <c r="AD7" s="26"/>
      <c r="AE7" s="26">
        <v>26.6</v>
      </c>
      <c r="AF7" s="26">
        <v>27.2</v>
      </c>
      <c r="AG7" s="26">
        <v>41.46</v>
      </c>
    </row>
    <row r="8" spans="1:41">
      <c r="A8" s="1">
        <v>8</v>
      </c>
      <c r="B8" t="s">
        <v>32</v>
      </c>
      <c r="C8" t="s">
        <v>33</v>
      </c>
      <c r="D8" t="s">
        <v>20</v>
      </c>
      <c r="V8" s="11"/>
      <c r="W8" s="11">
        <f>[1]!Table1[[#This Row],[municipal_housing_share]]</f>
        <v>0.23100000000000001</v>
      </c>
      <c r="X8" s="11">
        <v>0.23100000000000001</v>
      </c>
      <c r="Y8" s="11">
        <v>8.9999999999999993E-3</v>
      </c>
      <c r="Z8" s="11">
        <v>0.46700000000000003</v>
      </c>
      <c r="AA8" s="11">
        <v>0.29199999999999998</v>
      </c>
      <c r="AC8" s="26">
        <v>9.84</v>
      </c>
      <c r="AD8" s="26">
        <v>9.6</v>
      </c>
      <c r="AE8" s="26">
        <v>35.1</v>
      </c>
      <c r="AF8" s="26">
        <v>35.1</v>
      </c>
      <c r="AG8" s="26">
        <v>36</v>
      </c>
    </row>
    <row r="9" spans="1:41">
      <c r="A9" s="1">
        <v>10</v>
      </c>
      <c r="V9" s="10"/>
      <c r="AC9" s="26"/>
      <c r="AD9" s="26"/>
      <c r="AE9" s="26"/>
      <c r="AF9" s="26"/>
      <c r="AG9" s="26"/>
    </row>
    <row r="10" spans="1:41">
      <c r="A10" s="1">
        <v>11</v>
      </c>
      <c r="V10" s="10"/>
      <c r="AC10" s="26"/>
      <c r="AD10" s="26"/>
      <c r="AE10" s="26"/>
      <c r="AF10" s="26"/>
      <c r="AG10" s="26"/>
    </row>
    <row r="11" spans="1:41">
      <c r="A11" s="1">
        <v>12</v>
      </c>
      <c r="V11" s="10"/>
      <c r="AC11" s="26"/>
      <c r="AD11" s="26"/>
      <c r="AE11" s="26"/>
      <c r="AF11" s="26"/>
      <c r="AG11" s="26"/>
    </row>
    <row r="12" spans="1:41">
      <c r="A12" s="1">
        <v>13</v>
      </c>
      <c r="V12" s="10"/>
      <c r="AC12" s="26"/>
      <c r="AD12" s="26"/>
      <c r="AE12" s="26"/>
      <c r="AF12" s="26"/>
      <c r="AG12" s="26"/>
    </row>
    <row r="13" spans="1:41">
      <c r="A13" s="1">
        <v>14</v>
      </c>
      <c r="V13" s="10"/>
      <c r="AC13" s="26"/>
      <c r="AD13" s="26"/>
      <c r="AE13" s="26"/>
      <c r="AF13" s="26"/>
      <c r="AG13" s="26"/>
    </row>
    <row r="14" spans="1:41">
      <c r="A14" s="1">
        <v>15</v>
      </c>
      <c r="V14" s="10"/>
      <c r="AC14" s="26"/>
      <c r="AD14" s="26"/>
      <c r="AE14" s="26"/>
      <c r="AF14" s="26"/>
      <c r="AG14" s="26"/>
    </row>
    <row r="15" spans="1:41">
      <c r="A15" s="1">
        <v>14</v>
      </c>
      <c r="V15" s="10"/>
      <c r="AC15" s="26"/>
      <c r="AD15" s="26"/>
      <c r="AE15" s="26"/>
      <c r="AF15" s="26"/>
      <c r="AG15" s="26"/>
    </row>
    <row r="16" spans="1:41">
      <c r="A16" s="1">
        <v>15</v>
      </c>
      <c r="V16" s="10"/>
      <c r="AC16" s="26"/>
      <c r="AD16" s="26"/>
      <c r="AE16" s="26"/>
      <c r="AF16" s="26"/>
      <c r="AG16" s="2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AC7E-E4EF-4FFB-B2D5-ED6DE3021343}">
  <dimension ref="A2:F8"/>
  <sheetViews>
    <sheetView workbookViewId="0">
      <selection activeCell="H14" sqref="H14"/>
    </sheetView>
  </sheetViews>
  <sheetFormatPr defaultRowHeight="14.4"/>
  <sheetData>
    <row r="2" spans="1:6">
      <c r="A2" t="s">
        <v>40</v>
      </c>
      <c r="B2" t="s">
        <v>41</v>
      </c>
      <c r="C2" t="s">
        <v>42</v>
      </c>
      <c r="E2" t="s">
        <v>43</v>
      </c>
      <c r="F2" t="s">
        <v>44</v>
      </c>
    </row>
    <row r="3" spans="1:6">
      <c r="A3" t="s">
        <v>54</v>
      </c>
      <c r="B3" t="s">
        <v>41</v>
      </c>
      <c r="E3" t="s">
        <v>45</v>
      </c>
      <c r="F3" t="s">
        <v>44</v>
      </c>
    </row>
    <row r="4" spans="1:6">
      <c r="E4" t="s">
        <v>46</v>
      </c>
      <c r="F4" t="s">
        <v>44</v>
      </c>
    </row>
    <row r="5" spans="1:6">
      <c r="E5" t="s">
        <v>47</v>
      </c>
      <c r="F5" t="s">
        <v>48</v>
      </c>
    </row>
    <row r="6" spans="1:6">
      <c r="E6" t="s">
        <v>50</v>
      </c>
      <c r="F6" s="14" t="s">
        <v>51</v>
      </c>
    </row>
    <row r="8" spans="1:6">
      <c r="E8" t="s">
        <v>59</v>
      </c>
      <c r="F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53F6-84D9-4573-ACCA-0E7F4330341C}">
  <dimension ref="A1:K25"/>
  <sheetViews>
    <sheetView topLeftCell="A6" workbookViewId="0">
      <selection activeCell="B25" sqref="B25"/>
    </sheetView>
  </sheetViews>
  <sheetFormatPr defaultRowHeight="14.4"/>
  <sheetData>
    <row r="1" spans="1:11" ht="15" thickBot="1">
      <c r="A1" s="3">
        <v>2026</v>
      </c>
      <c r="B1" s="5">
        <v>2040914</v>
      </c>
      <c r="D1" t="s">
        <v>39</v>
      </c>
      <c r="E1" s="12">
        <f>(B1/B11)^(1/10)-1</f>
        <v>1.0404691906902519E-2</v>
      </c>
      <c r="G1" s="15">
        <v>2016</v>
      </c>
      <c r="H1" s="16">
        <v>635181</v>
      </c>
      <c r="J1" t="s">
        <v>39</v>
      </c>
      <c r="K1">
        <f>(H10/H1)^(1/10)-1</f>
        <v>8.9525005442310235E-3</v>
      </c>
    </row>
    <row r="2" spans="1:11" ht="15" thickBot="1">
      <c r="A2" s="4">
        <v>2025</v>
      </c>
      <c r="B2" s="6">
        <v>2028289</v>
      </c>
      <c r="D2" t="s">
        <v>52</v>
      </c>
      <c r="E2">
        <f>(B1-B11)/B11</f>
        <v>0.10905617027473799</v>
      </c>
      <c r="G2" s="17">
        <v>2017</v>
      </c>
      <c r="H2" s="18">
        <v>643272</v>
      </c>
      <c r="J2" t="s">
        <v>52</v>
      </c>
      <c r="K2">
        <f>(H10-H1)/H1</f>
        <v>9.321909817831453E-2</v>
      </c>
    </row>
    <row r="3" spans="1:11" ht="15" thickBot="1">
      <c r="A3" s="3">
        <v>2024</v>
      </c>
      <c r="B3" s="5">
        <v>2005760</v>
      </c>
      <c r="G3" s="17">
        <v>2018</v>
      </c>
      <c r="H3" s="18">
        <v>648042</v>
      </c>
    </row>
    <row r="4" spans="1:11" ht="15" thickBot="1">
      <c r="A4" s="4">
        <v>2023</v>
      </c>
      <c r="B4" s="6">
        <v>1982097</v>
      </c>
      <c r="G4" s="17">
        <v>2019</v>
      </c>
      <c r="H4" s="18">
        <v>653835</v>
      </c>
    </row>
    <row r="5" spans="1:11" ht="15" thickBot="1">
      <c r="A5" s="3">
        <v>2022</v>
      </c>
      <c r="B5" s="5">
        <v>1931593</v>
      </c>
      <c r="G5" s="17">
        <v>2020</v>
      </c>
      <c r="H5" s="18">
        <v>656920</v>
      </c>
    </row>
    <row r="6" spans="1:11" ht="15" thickBot="1">
      <c r="A6" s="4">
        <v>2021</v>
      </c>
      <c r="B6" s="6">
        <v>1920949</v>
      </c>
      <c r="G6" s="17">
        <v>2021</v>
      </c>
      <c r="H6" s="18">
        <v>658457</v>
      </c>
    </row>
    <row r="7" spans="1:11" ht="15" thickBot="1">
      <c r="A7" s="3">
        <v>2020</v>
      </c>
      <c r="B7" s="5">
        <v>1911191</v>
      </c>
      <c r="G7" s="17">
        <v>2022</v>
      </c>
      <c r="H7" s="18">
        <v>664028</v>
      </c>
    </row>
    <row r="8" spans="1:11" ht="15" thickBot="1">
      <c r="A8" s="4">
        <v>2019</v>
      </c>
      <c r="B8" s="6">
        <v>1897491</v>
      </c>
      <c r="G8" s="17">
        <v>2023</v>
      </c>
      <c r="H8" s="18">
        <v>674500</v>
      </c>
    </row>
    <row r="9" spans="1:11" ht="15" thickBot="1">
      <c r="A9" s="3">
        <v>2018</v>
      </c>
      <c r="B9" s="5">
        <v>1888776</v>
      </c>
      <c r="G9" s="17">
        <v>2024</v>
      </c>
      <c r="H9" s="18">
        <v>684018</v>
      </c>
    </row>
    <row r="10" spans="1:11" ht="15" thickBot="1">
      <c r="A10" s="4">
        <v>2017</v>
      </c>
      <c r="B10" s="6">
        <v>1867582</v>
      </c>
      <c r="G10" s="19">
        <v>2025</v>
      </c>
      <c r="H10" s="20">
        <v>694392</v>
      </c>
    </row>
    <row r="11" spans="1:11">
      <c r="A11" s="8">
        <v>2016</v>
      </c>
      <c r="B11" s="9">
        <v>1840226</v>
      </c>
    </row>
    <row r="15" spans="1:11" ht="15" thickBot="1">
      <c r="B15" s="13">
        <v>864590</v>
      </c>
      <c r="C15" s="13">
        <v>483420</v>
      </c>
      <c r="D15" s="13">
        <v>374068</v>
      </c>
      <c r="E15" s="5">
        <v>198874</v>
      </c>
      <c r="G15" s="2">
        <v>1920952</v>
      </c>
      <c r="I15">
        <f>(G16/G15)*100</f>
        <v>44.638699977927608</v>
      </c>
    </row>
    <row r="16" spans="1:11">
      <c r="G16" s="2">
        <f>C15+D15</f>
        <v>857488</v>
      </c>
    </row>
    <row r="19" spans="1:11" ht="15" thickBot="1">
      <c r="A19" s="13">
        <v>198874</v>
      </c>
      <c r="B19" s="13">
        <v>374068</v>
      </c>
      <c r="C19" s="13">
        <v>483420</v>
      </c>
      <c r="D19" s="5">
        <v>864590</v>
      </c>
      <c r="F19" s="2">
        <v>1920952</v>
      </c>
    </row>
    <row r="20" spans="1:11">
      <c r="A20" t="s">
        <v>64</v>
      </c>
      <c r="B20" t="s">
        <v>63</v>
      </c>
      <c r="C20" t="s">
        <v>62</v>
      </c>
      <c r="D20" t="s">
        <v>61</v>
      </c>
    </row>
    <row r="22" spans="1:11">
      <c r="A22" s="22">
        <v>3610156</v>
      </c>
      <c r="B22" s="22">
        <v>3670622</v>
      </c>
      <c r="C22" s="22">
        <v>3711930</v>
      </c>
      <c r="D22" s="22">
        <v>3748148</v>
      </c>
      <c r="E22" s="23">
        <v>3769495</v>
      </c>
      <c r="F22" s="23">
        <v>3769962</v>
      </c>
      <c r="G22" s="23">
        <v>3775480</v>
      </c>
      <c r="H22" s="23">
        <v>3850809</v>
      </c>
      <c r="I22" s="23">
        <v>3878100</v>
      </c>
      <c r="J22" s="23">
        <v>3897145</v>
      </c>
      <c r="K22" s="23">
        <v>3913644</v>
      </c>
    </row>
    <row r="24" spans="1:11">
      <c r="A24" t="s">
        <v>39</v>
      </c>
      <c r="B24">
        <f>(K22/A22)^(1/10)-1</f>
        <v>8.1044572038246887E-3</v>
      </c>
    </row>
    <row r="25" spans="1:11">
      <c r="A25" t="s">
        <v>52</v>
      </c>
      <c r="B25">
        <f>(K22-A22)/A22</f>
        <v>8.4065065332356831E-2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 Statistics</vt:lpstr>
      <vt:lpstr>Data Sources</vt:lpstr>
      <vt:lpstr>Quick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 Nuic</dc:creator>
  <cp:lastModifiedBy>Drago Nuic</cp:lastModifiedBy>
  <dcterms:created xsi:type="dcterms:W3CDTF">2015-06-05T18:17:20Z</dcterms:created>
  <dcterms:modified xsi:type="dcterms:W3CDTF">2026-09-02T10:33:27Z</dcterms:modified>
</cp:coreProperties>
</file>